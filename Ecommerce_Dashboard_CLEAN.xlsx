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320" tabRatio="500"/>
  </bookViews>
  <sheets>
    <sheet name="Dashboard" sheetId="1" r:id="rId1"/>
    <sheet name="Pivot T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<sst xmlns="http://schemas.openxmlformats.org/spreadsheetml/2006/main" count="156" uniqueCount="152">
  <si>
    <t>🌐  Global E-Commerce Return &amp; Refund Intelligence Dashboard</t>
  </si>
  <si>
    <t>Mahasweta  |  KIIT University  |  Class of 2027  |  Target: Data Analyst</t>
  </si>
  <si>
    <t>99,441</t>
  </si>
  <si>
    <t>2.2%</t>
  </si>
  <si>
    <t>4.09 / 5</t>
  </si>
  <si>
    <t>40.3%</t>
  </si>
  <si>
    <t>£1.53M</t>
  </si>
  <si>
    <t>📦  Total Orders</t>
  </si>
  <si>
    <t>↩️  Return Rate</t>
  </si>
  <si>
    <t>⭐  Avg Review</t>
  </si>
  <si>
    <t>⏱️  On-Time</t>
  </si>
  <si>
    <t>💷  At-Risk Revenue</t>
  </si>
  <si>
    <t>Olist Brazil</t>
  </si>
  <si>
    <t>UK Online Retail</t>
  </si>
  <si>
    <t>Olist Reviews</t>
  </si>
  <si>
    <t>Global Logistics</t>
  </si>
  <si>
    <t>UK Return Value</t>
  </si>
  <si>
    <t xml:space="preserve">  📊  SECTION 1 — OLIST BRAZIL: Order Trends &amp; Revenue</t>
  </si>
  <si>
    <t xml:space="preserve">  🔄  SECTION 2 — UK ONLINE RETAIL: Return Rate Analysis</t>
  </si>
  <si>
    <t xml:space="preserve">  ✈️  SECTION 3 — GLOBAL LOGISTICS: Delivery Performance</t>
  </si>
  <si>
    <t xml:space="preserve">  📅  SECTION 4 — YEAR-OVER-YEAR &amp; DISCOUNT ANALYSIS</t>
  </si>
  <si>
    <t xml:space="preserve">  💡  KEY INSIGHTS FROM DATA ANALYSIS</t>
  </si>
  <si>
    <t>🟢  GROWTH TREND</t>
  </si>
  <si>
    <t>Olist Brazil grew 20% YoY (2017→2018): 45K → 54K orders. Nov 2017 peak at 7,544 orders suggests strong Black Friday demand.</t>
  </si>
  <si>
    <t>🔴  DELIVERY = REVIEWS</t>
  </si>
  <si>
    <t>Late deliveries score just 1.65–2.10 stars vs 4.19–4.31 for early ones. Logistics quality directly drives customer satisfaction.</t>
  </si>
  <si>
    <t>🟡  UK RETURN RISK</t>
  </si>
  <si>
    <t>Return rate peaks at 3.8% in May 2010. Total revenue at risk from returns = £1.53M. UK dominates return value (87% of all returns).</t>
  </si>
  <si>
    <t>🔵  LOGISTICS GAP</t>
  </si>
  <si>
    <t>Only 40.3% of shipments arrive on time across all 3 modes (Flight/Ship/Road). Near-identical performance suggests a warehouse bottleneck.</t>
  </si>
  <si>
    <t>🟣  REVENUE LEADERS</t>
  </si>
  <si>
    <t>Health &amp; Beauty (BRL 1.26M) + Watches &amp; Gifts (BRL 1.21M) = top 2 Olist categories, representing 16% of total platform GMV.</t>
  </si>
  <si>
    <t>Global E-Commerce Return &amp; Refund Intelligence  |  Mahasweta  |  KIIT University 2027  |  Data: Olist Brazil · UK Online Retail II · Global Logistics</t>
  </si>
  <si>
    <t>T1:Monthly</t>
  </si>
  <si>
    <t>T2:Status</t>
  </si>
  <si>
    <t>T3:Review</t>
  </si>
  <si>
    <t>T4:Category</t>
  </si>
  <si>
    <t>T5:UKReturn</t>
  </si>
  <si>
    <t>T6:Country</t>
  </si>
  <si>
    <t>T7:Mode</t>
  </si>
  <si>
    <t>T8:Calls</t>
  </si>
  <si>
    <t>T9:YoY</t>
  </si>
  <si>
    <t>T10:Disc</t>
  </si>
  <si>
    <t>Month</t>
  </si>
  <si>
    <t>Orders</t>
  </si>
  <si>
    <t>Canceled</t>
  </si>
  <si>
    <t>Status</t>
  </si>
  <si>
    <t>Count</t>
  </si>
  <si>
    <t>Delay</t>
  </si>
  <si>
    <t>Score</t>
  </si>
  <si>
    <t>Category</t>
  </si>
  <si>
    <t>Revenue</t>
  </si>
  <si>
    <t>Rate%</t>
  </si>
  <si>
    <t>Country</t>
  </si>
  <si>
    <t>Value</t>
  </si>
  <si>
    <t>Mode</t>
  </si>
  <si>
    <t>OnTime</t>
  </si>
  <si>
    <t>Late</t>
  </si>
  <si>
    <t>Calls</t>
  </si>
  <si>
    <t>Rating</t>
  </si>
  <si>
    <t>Year</t>
  </si>
  <si>
    <t>Band</t>
  </si>
  <si>
    <t>OnTime%</t>
  </si>
  <si>
    <t>Jan-17</t>
  </si>
  <si>
    <t>Delivered</t>
  </si>
  <si>
    <t>Very Early</t>
  </si>
  <si>
    <t>Health &amp; Beauty</t>
  </si>
  <si>
    <t>Dec-09</t>
  </si>
  <si>
    <t>UK</t>
  </si>
  <si>
    <t>Flight</t>
  </si>
  <si>
    <t>2016</t>
  </si>
  <si>
    <t>0-10%</t>
  </si>
  <si>
    <t>Feb-17</t>
  </si>
  <si>
    <t>Shipped</t>
  </si>
  <si>
    <t>Early 3-7d</t>
  </si>
  <si>
    <t>Watches &amp; Gifts</t>
  </si>
  <si>
    <t>Jan-10</t>
  </si>
  <si>
    <t>EIRE</t>
  </si>
  <si>
    <t>Ship</t>
  </si>
  <si>
    <t>2017</t>
  </si>
  <si>
    <t>10-20%</t>
  </si>
  <si>
    <t>Mar-17</t>
  </si>
  <si>
    <t>Early &lt;3d</t>
  </si>
  <si>
    <t>Bed &amp; Bath</t>
  </si>
  <si>
    <t>Feb-10</t>
  </si>
  <si>
    <t>France</t>
  </si>
  <si>
    <t>Road</t>
  </si>
  <si>
    <t>2018</t>
  </si>
  <si>
    <t>20-30%</t>
  </si>
  <si>
    <t>Apr-17</t>
  </si>
  <si>
    <t>Unavailable</t>
  </si>
  <si>
    <t>On Time</t>
  </si>
  <si>
    <t>Sports &amp; Leisure</t>
  </si>
  <si>
    <t>Mar-10</t>
  </si>
  <si>
    <t>Norway</t>
  </si>
  <si>
    <t>30-40%</t>
  </si>
  <si>
    <t>May-17</t>
  </si>
  <si>
    <t>Invoiced</t>
  </si>
  <si>
    <t>Late &lt;3d</t>
  </si>
  <si>
    <t>Computers &amp; Acc</t>
  </si>
  <si>
    <t>Apr-10</t>
  </si>
  <si>
    <t>Spain</t>
  </si>
  <si>
    <t>40-50%</t>
  </si>
  <si>
    <t>Jun-17</t>
  </si>
  <si>
    <t>Processing</t>
  </si>
  <si>
    <t>Late 3-7d</t>
  </si>
  <si>
    <t>Furniture &amp; Decor</t>
  </si>
  <si>
    <t>May-10</t>
  </si>
  <si>
    <t>Germany</t>
  </si>
  <si>
    <t>50%+</t>
  </si>
  <si>
    <t>Jul-17</t>
  </si>
  <si>
    <t>Very Late</t>
  </si>
  <si>
    <t>Cool Stuff</t>
  </si>
  <si>
    <t>Jun-10</t>
  </si>
  <si>
    <t>Singapore</t>
  </si>
  <si>
    <t>Aug-17</t>
  </si>
  <si>
    <t>Housewares</t>
  </si>
  <si>
    <t>Jul-10</t>
  </si>
  <si>
    <t>Hong Kong</t>
  </si>
  <si>
    <t>Sep-17</t>
  </si>
  <si>
    <t>Auto</t>
  </si>
  <si>
    <t>Aug-10</t>
  </si>
  <si>
    <t>Netherlands</t>
  </si>
  <si>
    <t>Oct-17</t>
  </si>
  <si>
    <t>Garden Tools</t>
  </si>
  <si>
    <t>Sep-10</t>
  </si>
  <si>
    <t>Portugal</t>
  </si>
  <si>
    <t>Nov-17</t>
  </si>
  <si>
    <t>Oct-10</t>
  </si>
  <si>
    <t>Dec-17</t>
  </si>
  <si>
    <t>Nov-10</t>
  </si>
  <si>
    <t>Jan-18</t>
  </si>
  <si>
    <t>Dec-10</t>
  </si>
  <si>
    <t>Feb-18</t>
  </si>
  <si>
    <t>Jan-11</t>
  </si>
  <si>
    <t>Mar-18</t>
  </si>
  <si>
    <t>Feb-11</t>
  </si>
  <si>
    <t>Apr-18</t>
  </si>
  <si>
    <t>Mar-11</t>
  </si>
  <si>
    <t>May-18</t>
  </si>
  <si>
    <t>Apr-11</t>
  </si>
  <si>
    <t>Jun-18</t>
  </si>
  <si>
    <t>May-11</t>
  </si>
  <si>
    <t>Jul-18</t>
  </si>
  <si>
    <t>Jun-11</t>
  </si>
  <si>
    <t>Aug-18</t>
  </si>
  <si>
    <t>Jul-11</t>
  </si>
  <si>
    <t>Aug-11</t>
  </si>
  <si>
    <t>Sep-11</t>
  </si>
  <si>
    <t>Oct-11</t>
  </si>
  <si>
    <t>Nov-11</t>
  </si>
  <si>
    <t>Dec-11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</si>
</sst>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40">
    <font>
      <sz val="11"/>
      <color theme="1"/>
      <name val="Calibri"/>
      <charset val="1"/>
    </font>
    <font>
      <b/>
      <sz val="9"/>
      <color rgb="FF1A2744"/>
      <name val="Arial"/>
      <charset val="1"/>
    </font>
    <font>
      <b/>
      <sz val="9"/>
      <color rgb="FFFFFFFF"/>
      <name val="Arial"/>
      <charset val="1"/>
    </font>
    <font>
      <b/>
      <sz val="15"/>
      <color rgb="FFFFFFFF"/>
      <name val="Arial"/>
      <charset val="1"/>
    </font>
    <font>
      <sz val="9"/>
      <color rgb="FF94A3B8"/>
      <name val="Arial"/>
      <charset val="1"/>
    </font>
    <font>
      <b/>
      <sz val="16"/>
      <color rgb="FF1E293B"/>
      <name val="Arial"/>
      <charset val="1"/>
    </font>
    <font>
      <b/>
      <sz val="8"/>
      <color rgb="FF0D9488"/>
      <name val="Arial"/>
      <charset val="1"/>
    </font>
    <font>
      <b/>
      <sz val="8"/>
      <color rgb="FFF59E0B"/>
      <name val="Arial"/>
      <charset val="1"/>
    </font>
    <font>
      <b/>
      <sz val="8"/>
      <color rgb="FF3B82F6"/>
      <name val="Arial"/>
      <charset val="1"/>
    </font>
    <font>
      <b/>
      <sz val="8"/>
      <color rgb="FFF97316"/>
      <name val="Arial"/>
      <charset val="1"/>
    </font>
    <font>
      <b/>
      <sz val="8"/>
      <color rgb="FFEF4444"/>
      <name val="Arial"/>
      <charset val="1"/>
    </font>
    <font>
      <sz val="8"/>
      <color rgb="FF94A3B8"/>
      <name val="Arial"/>
      <charset val="1"/>
    </font>
    <font>
      <b/>
      <sz val="9"/>
      <color rgb="FF10B981"/>
      <name val="Arial"/>
      <charset val="1"/>
    </font>
    <font>
      <sz val="9"/>
      <color rgb="FF1E293B"/>
      <name val="Arial"/>
      <charset val="1"/>
    </font>
    <font>
      <b/>
      <sz val="9"/>
      <color rgb="FFEF4444"/>
      <name val="Arial"/>
      <charset val="1"/>
    </font>
    <font>
      <b/>
      <sz val="9"/>
      <color rgb="FFF59E0B"/>
      <name val="Arial"/>
      <charset val="1"/>
    </font>
    <font>
      <b/>
      <sz val="9"/>
      <color rgb="FF3B82F6"/>
      <name val="Arial"/>
      <charset val="1"/>
    </font>
    <font>
      <b/>
      <sz val="9"/>
      <color rgb="FF8B5CF6"/>
      <name val="Arial"/>
      <charset val="1"/>
    </font>
    <font>
      <sz val="8"/>
      <color rgb="FF64748B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A2744"/>
        <bgColor rgb="FF1E293B"/>
      </patternFill>
    </fill>
    <fill>
      <patternFill patternType="solid">
        <fgColor rgb="FFF0F4F8"/>
        <bgColor rgb="FFFFFFFF"/>
      </patternFill>
    </fill>
    <fill>
      <patternFill patternType="solid">
        <fgColor rgb="FF0D9488"/>
        <bgColor rgb="FF10B981"/>
      </patternFill>
    </fill>
    <fill>
      <patternFill patternType="solid">
        <fgColor rgb="FFF59E0B"/>
        <bgColor rgb="FFF97316"/>
      </patternFill>
    </fill>
    <fill>
      <patternFill patternType="solid">
        <fgColor rgb="FF3B82F6"/>
        <bgColor rgb="FF4F81BD"/>
      </patternFill>
    </fill>
    <fill>
      <patternFill patternType="solid">
        <fgColor rgb="FFF97316"/>
        <bgColor rgb="FFF59E0B"/>
      </patternFill>
    </fill>
    <fill>
      <patternFill patternType="solid">
        <fgColor rgb="FFEF4444"/>
        <bgColor rgb="FFF97316"/>
      </patternFill>
    </fill>
    <fill>
      <patternFill patternType="solid">
        <fgColor rgb="FFFFFFFF"/>
        <bgColor rgb="FFF0F4F8"/>
      </patternFill>
    </fill>
    <fill>
      <patternFill patternType="solid">
        <fgColor rgb="FF8B5CF6"/>
        <bgColor rgb="FF64748B"/>
      </patternFill>
    </fill>
    <fill>
      <patternFill patternType="solid">
        <fgColor rgb="FF10B981"/>
        <bgColor rgb="FF0D948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Border="0" applyAlignment="0" applyProtection="0"/>
    <xf numFmtId="177" fontId="19" fillId="0" borderId="0" applyBorder="0" applyAlignment="0" applyProtection="0"/>
    <xf numFmtId="9" fontId="19" fillId="0" borderId="0" applyBorder="0" applyAlignment="0" applyProtection="0"/>
    <xf numFmtId="178" fontId="19" fillId="0" borderId="0" applyBorder="0" applyAlignment="0" applyProtection="0"/>
    <xf numFmtId="179" fontId="19" fillId="0" borderId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5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1" fillId="14" borderId="5" applyNumberFormat="0" applyAlignment="0" applyProtection="0">
      <alignment vertical="center"/>
    </xf>
    <xf numFmtId="0" fontId="32" fillId="15" borderId="7" applyNumberFormat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right" vertical="center"/>
    </xf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2" fillId="2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2" fillId="7" borderId="0" xfId="0" applyFont="1" applyFill="1" applyBorder="1" applyAlignment="1">
      <alignment horizontal="left" vertical="center" wrapText="1"/>
    </xf>
    <xf numFmtId="0" fontId="2" fillId="10" borderId="0" xfId="0" applyFont="1" applyFill="1" applyBorder="1" applyAlignment="1">
      <alignment horizontal="left" vertical="center" wrapText="1"/>
    </xf>
    <xf numFmtId="0" fontId="0" fillId="11" borderId="0" xfId="0" applyFill="1"/>
    <xf numFmtId="0" fontId="0" fillId="9" borderId="0" xfId="0" applyFill="1"/>
    <xf numFmtId="0" fontId="12" fillId="9" borderId="0" xfId="0" applyFont="1" applyFill="1" applyBorder="1" applyAlignment="1">
      <alignment horizontal="left" vertical="center" wrapText="1"/>
    </xf>
    <xf numFmtId="0" fontId="13" fillId="9" borderId="0" xfId="0" applyFont="1" applyFill="1" applyBorder="1" applyAlignment="1">
      <alignment horizontal="left" vertical="center" wrapText="1"/>
    </xf>
    <xf numFmtId="0" fontId="0" fillId="8" borderId="0" xfId="0" applyFill="1"/>
    <xf numFmtId="0" fontId="14" fillId="9" borderId="0" xfId="0" applyFont="1" applyFill="1" applyBorder="1" applyAlignment="1">
      <alignment horizontal="left" vertical="center" wrapText="1"/>
    </xf>
    <xf numFmtId="0" fontId="0" fillId="5" borderId="0" xfId="0" applyFill="1"/>
    <xf numFmtId="0" fontId="15" fillId="9" borderId="0" xfId="0" applyFont="1" applyFill="1" applyBorder="1" applyAlignment="1">
      <alignment horizontal="left" vertical="center" wrapText="1"/>
    </xf>
    <xf numFmtId="0" fontId="0" fillId="6" borderId="0" xfId="0" applyFill="1"/>
    <xf numFmtId="0" fontId="16" fillId="9" borderId="0" xfId="0" applyFont="1" applyFill="1" applyBorder="1" applyAlignment="1">
      <alignment horizontal="left" vertical="center" wrapText="1"/>
    </xf>
    <xf numFmtId="0" fontId="0" fillId="10" borderId="0" xfId="0" applyFill="1"/>
    <xf numFmtId="0" fontId="17" fillId="9" borderId="0" xfId="0" applyFont="1" applyFill="1" applyBorder="1" applyAlignment="1">
      <alignment horizontal="left" vertical="center" wrapText="1"/>
    </xf>
    <xf numFmtId="0" fontId="18" fillId="2" borderId="0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D9488"/>
      <rgbColor rgb="00C0C0C0"/>
      <rgbColor rgb="00878787"/>
      <rgbColor rgb="008B5CF6"/>
      <rgbColor rgb="00EF4444"/>
      <rgbColor rgb="00F0F4F8"/>
      <rgbColor rgb="00E2E8F0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4F81BD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B82F6"/>
      <rgbColor rgb="0033CCCC"/>
      <rgbColor rgb="0099CC00"/>
      <rgbColor rgb="00FFCC00"/>
      <rgbColor rgb="00F59E0B"/>
      <rgbColor rgb="00F97316"/>
      <rgbColor rgb="0064748B"/>
      <rgbColor rgb="0094A3B8"/>
      <rgbColor rgb="001A2744"/>
      <rgbColor rgb="0010B981"/>
      <rgbColor rgb="00003300"/>
      <rgbColor rgb="00333300"/>
      <rgbColor rgb="00993300"/>
      <rgbColor rgb="00993366"/>
      <rgbColor rgb="00333399"/>
      <rgbColor rgb="00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Monthly Orders &amp; Cancellations — Olist Brazil (2017–2018)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Tables'!$B$2</c:f>
              <c:strCache>
                <c:ptCount val="1"/>
                <c:pt idx="0">
                  <c:v>Orders</c:v>
                </c:pt>
              </c:strCache>
            </c:strRef>
          </c:tx>
          <c:spPr>
            <a:ln w="21960" cap="rnd" cmpd="sng" algn="ctr">
              <a:solidFill>
                <a:srgbClr val="0D948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Tables'!$A$3:$A$22</c:f>
              <c:strCache>
                <c:ptCount val="20"/>
                <c:pt idx="0">
                  <c:v>Jan-17</c:v>
                </c:pt>
                <c:pt idx="1">
                  <c:v>Feb-17</c:v>
                </c:pt>
                <c:pt idx="2">
                  <c:v>Mar-17</c:v>
                </c:pt>
                <c:pt idx="3">
                  <c:v>Apr-17</c:v>
                </c:pt>
                <c:pt idx="4">
                  <c:v>May-17</c:v>
                </c:pt>
                <c:pt idx="5">
                  <c:v>Jun-17</c:v>
                </c:pt>
                <c:pt idx="6">
                  <c:v>Jul-17</c:v>
                </c:pt>
                <c:pt idx="7">
                  <c:v>Aug-17</c:v>
                </c:pt>
                <c:pt idx="8">
                  <c:v>Sep-17</c:v>
                </c:pt>
                <c:pt idx="9">
                  <c:v>Oct-17</c:v>
                </c:pt>
                <c:pt idx="10">
                  <c:v>Nov-17</c:v>
                </c:pt>
                <c:pt idx="11">
                  <c:v>Dec-17</c:v>
                </c:pt>
                <c:pt idx="12">
                  <c:v>Jan-18</c:v>
                </c:pt>
                <c:pt idx="13">
                  <c:v>Feb-18</c:v>
                </c:pt>
                <c:pt idx="14">
                  <c:v>Mar-18</c:v>
                </c:pt>
                <c:pt idx="15">
                  <c:v>Apr-18</c:v>
                </c:pt>
                <c:pt idx="16">
                  <c:v>May-18</c:v>
                </c:pt>
                <c:pt idx="17">
                  <c:v>Jun-18</c:v>
                </c:pt>
                <c:pt idx="18">
                  <c:v>Jul-18</c:v>
                </c:pt>
                <c:pt idx="19">
                  <c:v>Aug-18</c:v>
                </c:pt>
              </c:strCache>
            </c:strRef>
          </c:cat>
          <c:val>
            <c:numRef>
              <c:f>'Pivot Tables'!$B$3:$B$22</c:f>
              <c:numCache>
                <c:formatCode>General</c:formatCode>
                <c:ptCount val="20"/>
                <c:pt idx="0">
                  <c:v>800</c:v>
                </c:pt>
                <c:pt idx="1">
                  <c:v>1780</c:v>
                </c:pt>
                <c:pt idx="2">
                  <c:v>2682</c:v>
                </c:pt>
                <c:pt idx="3">
                  <c:v>2404</c:v>
                </c:pt>
                <c:pt idx="4">
                  <c:v>3700</c:v>
                </c:pt>
                <c:pt idx="5">
                  <c:v>3245</c:v>
                </c:pt>
                <c:pt idx="6">
                  <c:v>4026</c:v>
                </c:pt>
                <c:pt idx="7">
                  <c:v>4331</c:v>
                </c:pt>
                <c:pt idx="8">
                  <c:v>4285</c:v>
                </c:pt>
                <c:pt idx="9">
                  <c:v>4631</c:v>
                </c:pt>
                <c:pt idx="10">
                  <c:v>7544</c:v>
                </c:pt>
                <c:pt idx="11">
                  <c:v>5673</c:v>
                </c:pt>
                <c:pt idx="12">
                  <c:v>7269</c:v>
                </c:pt>
                <c:pt idx="13">
                  <c:v>6728</c:v>
                </c:pt>
                <c:pt idx="14">
                  <c:v>7211</c:v>
                </c:pt>
                <c:pt idx="15">
                  <c:v>6939</c:v>
                </c:pt>
                <c:pt idx="16">
                  <c:v>6873</c:v>
                </c:pt>
                <c:pt idx="17">
                  <c:v>6167</c:v>
                </c:pt>
                <c:pt idx="18">
                  <c:v>6292</c:v>
                </c:pt>
                <c:pt idx="19">
                  <c:v>6512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'Pivot Tables'!$C$2</c:f>
              <c:strCache>
                <c:ptCount val="1"/>
                <c:pt idx="0">
                  <c:v>Canceled</c:v>
                </c:pt>
              </c:strCache>
            </c:strRef>
          </c:tx>
          <c:spPr>
            <a:ln w="18000" cap="rnd" cmpd="sng" algn="ctr">
              <a:solidFill>
                <a:srgbClr val="EF44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Tables'!$A$3:$A$22</c:f>
              <c:strCache>
                <c:ptCount val="20"/>
                <c:pt idx="0">
                  <c:v>Jan-17</c:v>
                </c:pt>
                <c:pt idx="1">
                  <c:v>Feb-17</c:v>
                </c:pt>
                <c:pt idx="2">
                  <c:v>Mar-17</c:v>
                </c:pt>
                <c:pt idx="3">
                  <c:v>Apr-17</c:v>
                </c:pt>
                <c:pt idx="4">
                  <c:v>May-17</c:v>
                </c:pt>
                <c:pt idx="5">
                  <c:v>Jun-17</c:v>
                </c:pt>
                <c:pt idx="6">
                  <c:v>Jul-17</c:v>
                </c:pt>
                <c:pt idx="7">
                  <c:v>Aug-17</c:v>
                </c:pt>
                <c:pt idx="8">
                  <c:v>Sep-17</c:v>
                </c:pt>
                <c:pt idx="9">
                  <c:v>Oct-17</c:v>
                </c:pt>
                <c:pt idx="10">
                  <c:v>Nov-17</c:v>
                </c:pt>
                <c:pt idx="11">
                  <c:v>Dec-17</c:v>
                </c:pt>
                <c:pt idx="12">
                  <c:v>Jan-18</c:v>
                </c:pt>
                <c:pt idx="13">
                  <c:v>Feb-18</c:v>
                </c:pt>
                <c:pt idx="14">
                  <c:v>Mar-18</c:v>
                </c:pt>
                <c:pt idx="15">
                  <c:v>Apr-18</c:v>
                </c:pt>
                <c:pt idx="16">
                  <c:v>May-18</c:v>
                </c:pt>
                <c:pt idx="17">
                  <c:v>Jun-18</c:v>
                </c:pt>
                <c:pt idx="18">
                  <c:v>Jul-18</c:v>
                </c:pt>
                <c:pt idx="19">
                  <c:v>Aug-18</c:v>
                </c:pt>
              </c:strCache>
            </c:strRef>
          </c:cat>
          <c:val>
            <c:numRef>
              <c:f>'Pivot Tables'!$C$3:$C$22</c:f>
              <c:numCache>
                <c:formatCode>General</c:formatCode>
                <c:ptCount val="20"/>
                <c:pt idx="0">
                  <c:v>3</c:v>
                </c:pt>
                <c:pt idx="1">
                  <c:v>17</c:v>
                </c:pt>
                <c:pt idx="2">
                  <c:v>33</c:v>
                </c:pt>
                <c:pt idx="3">
                  <c:v>18</c:v>
                </c:pt>
                <c:pt idx="4">
                  <c:v>29</c:v>
                </c:pt>
                <c:pt idx="5">
                  <c:v>16</c:v>
                </c:pt>
                <c:pt idx="6">
                  <c:v>28</c:v>
                </c:pt>
                <c:pt idx="7">
                  <c:v>27</c:v>
                </c:pt>
                <c:pt idx="8">
                  <c:v>20</c:v>
                </c:pt>
                <c:pt idx="9">
                  <c:v>26</c:v>
                </c:pt>
                <c:pt idx="10">
                  <c:v>37</c:v>
                </c:pt>
                <c:pt idx="11">
                  <c:v>11</c:v>
                </c:pt>
                <c:pt idx="12">
                  <c:v>34</c:v>
                </c:pt>
                <c:pt idx="13">
                  <c:v>73</c:v>
                </c:pt>
                <c:pt idx="14">
                  <c:v>26</c:v>
                </c:pt>
                <c:pt idx="15">
                  <c:v>15</c:v>
                </c:pt>
                <c:pt idx="16">
                  <c:v>24</c:v>
                </c:pt>
                <c:pt idx="17">
                  <c:v>18</c:v>
                </c:pt>
                <c:pt idx="18">
                  <c:v>41</c:v>
                </c:pt>
                <c:pt idx="19">
                  <c:v>84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7340874"/>
        <c:axId val="80896760"/>
      </c:lineChart>
      <c:catAx>
        <c:axId val="73408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0896760"/>
        <c:crosses val="autoZero"/>
        <c:auto val="1"/>
        <c:lblAlgn val="ctr"/>
        <c:lblOffset val="100"/>
        <c:noMultiLvlLbl val="0"/>
      </c:catAx>
      <c:valAx>
        <c:axId val="80896760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No. of Orders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3408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84d648-8cb4-4dfc-8394-54985842d37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Order Status Distribution — Olist Brazil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Tables'!$F$2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10B981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0D9488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EF4444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F59E0B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3B82F6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Tables'!$E$3:$E$7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Canceled</c:v>
                </c:pt>
                <c:pt idx="3">
                  <c:v>Unavailable</c:v>
                </c:pt>
                <c:pt idx="4">
                  <c:v>Invoiced</c:v>
                </c:pt>
              </c:strCache>
            </c:strRef>
          </c:cat>
          <c:val>
            <c:numRef>
              <c:f>'Pivot Tables'!$F$3:$F$7</c:f>
              <c:numCache>
                <c:formatCode>General</c:formatCode>
                <c:ptCount val="5"/>
                <c:pt idx="0">
                  <c:v>96478</c:v>
                </c:pt>
                <c:pt idx="1">
                  <c:v>1107</c:v>
                </c:pt>
                <c:pt idx="2">
                  <c:v>625</c:v>
                </c:pt>
                <c:pt idx="3">
                  <c:v>609</c:v>
                </c:pt>
                <c:pt idx="4">
                  <c:v>314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1020ce-5c45-4af3-bf43-a0a48729d6bc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Avg Review Score by Delivery Timing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Tables'!$I$2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</c:dPt>
          <c:dPt>
            <c:idx val="3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</c:dPt>
          <c:dPt>
            <c:idx val="4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</c:dPt>
          <c:dPt>
            <c:idx val="5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</c:dPt>
          <c:dPt>
            <c:idx val="6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Tables'!$H$3:$H$9</c:f>
              <c:strCache>
                <c:ptCount val="7"/>
                <c:pt idx="0">
                  <c:v>Very Early</c:v>
                </c:pt>
                <c:pt idx="1">
                  <c:v>Early 3-7d</c:v>
                </c:pt>
                <c:pt idx="2">
                  <c:v>Early &lt;3d</c:v>
                </c:pt>
                <c:pt idx="3">
                  <c:v>On Time</c:v>
                </c:pt>
                <c:pt idx="4">
                  <c:v>Late &lt;3d</c:v>
                </c:pt>
                <c:pt idx="5">
                  <c:v>Late 3-7d</c:v>
                </c:pt>
                <c:pt idx="6">
                  <c:v>Very Late</c:v>
                </c:pt>
              </c:strCache>
            </c:strRef>
          </c:cat>
          <c:val>
            <c:numRef>
              <c:f>'Pivot Tables'!$I$3:$I$9</c:f>
              <c:numCache>
                <c:formatCode>General</c:formatCode>
                <c:ptCount val="7"/>
                <c:pt idx="0">
                  <c:v>4.31</c:v>
                </c:pt>
                <c:pt idx="1">
                  <c:v>4.19</c:v>
                </c:pt>
                <c:pt idx="2">
                  <c:v>4.11</c:v>
                </c:pt>
                <c:pt idx="3">
                  <c:v>3.29</c:v>
                </c:pt>
                <c:pt idx="4">
                  <c:v>2.1</c:v>
                </c:pt>
                <c:pt idx="5">
                  <c:v>1.65</c:v>
                </c:pt>
                <c:pt idx="6">
                  <c:v>2.05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76431588"/>
        <c:axId val="53612647"/>
      </c:barChart>
      <c:catAx>
        <c:axId val="7643158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Avg Review (1–5)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3612647"/>
        <c:crosses val="autoZero"/>
        <c:auto val="1"/>
        <c:lblAlgn val="ctr"/>
        <c:lblOffset val="100"/>
        <c:noMultiLvlLbl val="0"/>
      </c:catAx>
      <c:valAx>
        <c:axId val="53612647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64315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5e287a-c1a8-413f-bd66-1dc7055a718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Top 10 Product Categories — Revenue (BRL)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Tables'!$L$2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Tables'!$K$3:$K$12</c:f>
              <c:strCache>
                <c:ptCount val="10"/>
                <c:pt idx="0">
                  <c:v>Health &amp; Beauty</c:v>
                </c:pt>
                <c:pt idx="1">
                  <c:v>Watches &amp; Gifts</c:v>
                </c:pt>
                <c:pt idx="2">
                  <c:v>Bed &amp; Bath</c:v>
                </c:pt>
                <c:pt idx="3">
                  <c:v>Sports &amp; Leisure</c:v>
                </c:pt>
                <c:pt idx="4">
                  <c:v>Computers &amp; Acc</c:v>
                </c:pt>
                <c:pt idx="5">
                  <c:v>Furniture &amp; Decor</c:v>
                </c:pt>
                <c:pt idx="6">
                  <c:v>Cool 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 Tools</c:v>
                </c:pt>
              </c:strCache>
            </c:strRef>
          </c:cat>
          <c:val>
            <c:numRef>
              <c:f>'Pivot Tables'!$L$3:$L$12</c:f>
              <c:numCache>
                <c:formatCode>General</c:formatCode>
                <c:ptCount val="10"/>
                <c:pt idx="0">
                  <c:v>1258681</c:v>
                </c:pt>
                <c:pt idx="1">
                  <c:v>1205006</c:v>
                </c:pt>
                <c:pt idx="2">
                  <c:v>1036989</c:v>
                </c:pt>
                <c:pt idx="3">
                  <c:v>988049</c:v>
                </c:pt>
                <c:pt idx="4">
                  <c:v>911954</c:v>
                </c:pt>
                <c:pt idx="5">
                  <c:v>729762</c:v>
                </c:pt>
                <c:pt idx="6">
                  <c:v>635291</c:v>
                </c:pt>
                <c:pt idx="7">
                  <c:v>632249</c:v>
                </c:pt>
                <c:pt idx="8">
                  <c:v>592720</c:v>
                </c:pt>
                <c:pt idx="9">
                  <c:v>485256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33459211"/>
        <c:axId val="62434166"/>
      </c:barChart>
      <c:catAx>
        <c:axId val="334592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2434166"/>
        <c:crosses val="autoZero"/>
        <c:auto val="1"/>
        <c:lblAlgn val="ctr"/>
        <c:lblOffset val="100"/>
        <c:noMultiLvlLbl val="0"/>
      </c:catAx>
      <c:valAx>
        <c:axId val="62434166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34592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a3b997-7e4e-4354-a3e2-9bedee772b82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UK Retail — Monthly Return Rate % (2009–2011)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Tables'!$O$2</c:f>
              <c:strCache>
                <c:ptCount val="1"/>
                <c:pt idx="0">
                  <c:v>Rate%</c:v>
                </c:pt>
              </c:strCache>
            </c:strRef>
          </c:tx>
          <c:spPr>
            <a:ln w="21960" cap="rnd" cmpd="sng" algn="ctr">
              <a:solidFill>
                <a:srgbClr val="EF44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Tables'!$N$3:$N$27</c:f>
              <c:strCache>
                <c:ptCount val="25"/>
                <c:pt idx="0">
                  <c:v>Dec-09</c:v>
                </c:pt>
                <c:pt idx="1">
                  <c:v>Jan-10</c:v>
                </c:pt>
                <c:pt idx="2">
                  <c:v>Feb-10</c:v>
                </c:pt>
                <c:pt idx="3">
                  <c:v>Mar-10</c:v>
                </c:pt>
                <c:pt idx="4">
                  <c:v>Apr-10</c:v>
                </c:pt>
                <c:pt idx="5">
                  <c:v>May-10</c:v>
                </c:pt>
                <c:pt idx="6">
                  <c:v>Jun-10</c:v>
                </c:pt>
                <c:pt idx="7">
                  <c:v>Jul-10</c:v>
                </c:pt>
                <c:pt idx="8">
                  <c:v>Aug-10</c:v>
                </c:pt>
                <c:pt idx="9">
                  <c:v>Sep-10</c:v>
                </c:pt>
                <c:pt idx="10">
                  <c:v>Oct-10</c:v>
                </c:pt>
                <c:pt idx="11">
                  <c:v>Nov-10</c:v>
                </c:pt>
                <c:pt idx="12">
                  <c:v>Dec-10</c:v>
                </c:pt>
                <c:pt idx="13">
                  <c:v>Jan-11</c:v>
                </c:pt>
                <c:pt idx="14">
                  <c:v>Feb-11</c:v>
                </c:pt>
                <c:pt idx="15">
                  <c:v>Mar-11</c:v>
                </c:pt>
                <c:pt idx="16">
                  <c:v>Apr-11</c:v>
                </c:pt>
                <c:pt idx="17">
                  <c:v>May-11</c:v>
                </c:pt>
                <c:pt idx="18">
                  <c:v>Jun-11</c:v>
                </c:pt>
                <c:pt idx="19">
                  <c:v>Jul-11</c:v>
                </c:pt>
                <c:pt idx="20">
                  <c:v>Aug-11</c:v>
                </c:pt>
                <c:pt idx="21">
                  <c:v>Sep-11</c:v>
                </c:pt>
                <c:pt idx="22">
                  <c:v>Oct-11</c:v>
                </c:pt>
                <c:pt idx="23">
                  <c:v>Nov-11</c:v>
                </c:pt>
                <c:pt idx="24">
                  <c:v>Dec-11</c:v>
                </c:pt>
              </c:strCache>
            </c:strRef>
          </c:cat>
          <c:val>
            <c:numRef>
              <c:f>'Pivot Tables'!$O$3:$O$27</c:f>
              <c:numCache>
                <c:formatCode>General</c:formatCode>
                <c:ptCount val="25"/>
                <c:pt idx="0">
                  <c:v>2.4</c:v>
                </c:pt>
                <c:pt idx="1">
                  <c:v>2.6</c:v>
                </c:pt>
                <c:pt idx="2">
                  <c:v>3.5</c:v>
                </c:pt>
                <c:pt idx="3">
                  <c:v>2.5</c:v>
                </c:pt>
                <c:pt idx="4">
                  <c:v>2.1</c:v>
                </c:pt>
                <c:pt idx="5">
                  <c:v>3.8</c:v>
                </c:pt>
                <c:pt idx="6">
                  <c:v>2.3</c:v>
                </c:pt>
                <c:pt idx="7">
                  <c:v>2.5</c:v>
                </c:pt>
                <c:pt idx="8">
                  <c:v>2</c:v>
                </c:pt>
                <c:pt idx="9">
                  <c:v>2.2</c:v>
                </c:pt>
                <c:pt idx="10">
                  <c:v>2</c:v>
                </c:pt>
                <c:pt idx="11">
                  <c:v>1.8</c:v>
                </c:pt>
                <c:pt idx="12">
                  <c:v>1.8</c:v>
                </c:pt>
                <c:pt idx="13">
                  <c:v>2.3</c:v>
                </c:pt>
                <c:pt idx="14">
                  <c:v>1.9</c:v>
                </c:pt>
                <c:pt idx="15">
                  <c:v>2.3</c:v>
                </c:pt>
                <c:pt idx="16">
                  <c:v>2.5</c:v>
                </c:pt>
                <c:pt idx="17">
                  <c:v>2</c:v>
                </c:pt>
                <c:pt idx="18">
                  <c:v>2.2</c:v>
                </c:pt>
                <c:pt idx="19">
                  <c:v>2</c:v>
                </c:pt>
                <c:pt idx="20">
                  <c:v>2</c:v>
                </c:pt>
                <c:pt idx="21">
                  <c:v>1.8</c:v>
                </c:pt>
                <c:pt idx="22">
                  <c:v>2.2</c:v>
                </c:pt>
                <c:pt idx="23">
                  <c:v>1.4</c:v>
                </c:pt>
                <c:pt idx="24">
                  <c:v>1.5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362687"/>
        <c:axId val="42476834"/>
      </c:lineChart>
      <c:catAx>
        <c:axId val="36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2476834"/>
        <c:crosses val="autoZero"/>
        <c:auto val="1"/>
        <c:lblAlgn val="ctr"/>
        <c:lblOffset val="100"/>
        <c:noMultiLvlLbl val="0"/>
      </c:catAx>
      <c:valAx>
        <c:axId val="4247683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Return Rate (%)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626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826084-5637-47aa-8366-09bd71e705d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Return Value by Country — UK Retail (GBP)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Tables'!$R$2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F59E0B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Tables'!$Q$3:$Q$12</c:f>
              <c:strCache>
                <c:ptCount val="10"/>
                <c:pt idx="0">
                  <c:v>UK</c:v>
                </c:pt>
                <c:pt idx="1">
                  <c:v>EIRE</c:v>
                </c:pt>
                <c:pt idx="2">
                  <c:v>France</c:v>
                </c:pt>
                <c:pt idx="3">
                  <c:v>Norway</c:v>
                </c:pt>
                <c:pt idx="4">
                  <c:v>Spain</c:v>
                </c:pt>
                <c:pt idx="5">
                  <c:v>Germany</c:v>
                </c:pt>
                <c:pt idx="6">
                  <c:v>Singapore</c:v>
                </c:pt>
                <c:pt idx="7">
                  <c:v>Hong Kong</c:v>
                </c:pt>
                <c:pt idx="8">
                  <c:v>Netherlands</c:v>
                </c:pt>
                <c:pt idx="9">
                  <c:v>Portugal</c:v>
                </c:pt>
              </c:strCache>
            </c:strRef>
          </c:cat>
          <c:val>
            <c:numRef>
              <c:f>'Pivot Tables'!$R$3:$R$12</c:f>
              <c:numCache>
                <c:formatCode>General</c:formatCode>
                <c:ptCount val="10"/>
                <c:pt idx="0">
                  <c:v>1330091</c:v>
                </c:pt>
                <c:pt idx="1">
                  <c:v>48912</c:v>
                </c:pt>
                <c:pt idx="2">
                  <c:v>28753</c:v>
                </c:pt>
                <c:pt idx="3">
                  <c:v>20867</c:v>
                </c:pt>
                <c:pt idx="4">
                  <c:v>17319</c:v>
                </c:pt>
                <c:pt idx="5">
                  <c:v>13274</c:v>
                </c:pt>
                <c:pt idx="6">
                  <c:v>12159</c:v>
                </c:pt>
                <c:pt idx="7">
                  <c:v>9855</c:v>
                </c:pt>
                <c:pt idx="8">
                  <c:v>5707</c:v>
                </c:pt>
                <c:pt idx="9">
                  <c:v>4880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30153574"/>
        <c:axId val="40042681"/>
      </c:barChart>
      <c:catAx>
        <c:axId val="301535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0042681"/>
        <c:crosses val="autoZero"/>
        <c:auto val="1"/>
        <c:lblAlgn val="ctr"/>
        <c:lblOffset val="100"/>
        <c:noMultiLvlLbl val="0"/>
      </c:catAx>
      <c:valAx>
        <c:axId val="40042681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01535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55c34c-381e-48e6-975c-238d28d71c6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Year-over-Year: Orders &amp; Cancellations (Olist)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Tables'!$AB$2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0D948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Tables'!$AA$3:$AA$5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'Pivot Tables'!$AB$3:$AB$5</c:f>
              <c:numCache>
                <c:formatCode>General</c:formatCode>
                <c:ptCount val="3"/>
                <c:pt idx="0">
                  <c:v>329</c:v>
                </c:pt>
                <c:pt idx="1">
                  <c:v>45101</c:v>
                </c:pt>
                <c:pt idx="2">
                  <c:v>54011</c:v>
                </c:pt>
              </c:numCache>
            </c:numRef>
          </c:val>
        </c:ser>
        <c:ser>
          <c:idx val="1"/>
          <c:order val="1"/>
          <c:tx>
            <c:strRef>
              <c:f>'Pivot Tables'!$AC$2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EF444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Tables'!$AA$3:$AA$5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'Pivot Tables'!$AC$3:$AC$5</c:f>
              <c:numCache>
                <c:formatCode>General</c:formatCode>
                <c:ptCount val="3"/>
                <c:pt idx="0">
                  <c:v>26</c:v>
                </c:pt>
                <c:pt idx="1">
                  <c:v>265</c:v>
                </c:pt>
                <c:pt idx="2">
                  <c:v>334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7566097"/>
        <c:axId val="70634920"/>
      </c:barChart>
      <c:catAx>
        <c:axId val="575660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0634920"/>
        <c:crosses val="autoZero"/>
        <c:auto val="1"/>
        <c:lblAlgn val="ctr"/>
        <c:lblOffset val="100"/>
        <c:noMultiLvlLbl val="0"/>
      </c:catAx>
      <c:valAx>
        <c:axId val="70634920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Count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75660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c4d327-defc-4a5a-af38-9b02b154419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Discount Band vs On-Time Delivery % (Global Logistics)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Tables'!$AG$2</c:f>
              <c:strCache>
                <c:ptCount val="1"/>
                <c:pt idx="0">
                  <c:v>OnTime%</c:v>
                </c:pt>
              </c:strCache>
            </c:strRef>
          </c:tx>
          <c:spPr>
            <a:solidFill>
              <a:srgbClr val="10B981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F4444"/>
              </a:solidFill>
              <a:ln w="0"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F59E0B"/>
              </a:solidFill>
              <a:ln w="0"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</c:dPt>
          <c:dPt>
            <c:idx val="3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</c:dPt>
          <c:dPt>
            <c:idx val="4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</c:dPt>
          <c:dPt>
            <c:idx val="5"/>
            <c:invertIfNegative val="0"/>
            <c:bubble3D val="0"/>
            <c:spPr>
              <a:solidFill>
                <a:srgbClr val="10B981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Tables'!$AF$3:$AF$8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'Pivot Tables'!$AG$3:$AG$8</c:f>
              <c:numCache>
                <c:formatCode>General</c:formatCode>
                <c:ptCount val="6"/>
                <c:pt idx="0">
                  <c:v>46.9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94123653"/>
        <c:axId val="9647416"/>
      </c:barChart>
      <c:catAx>
        <c:axId val="941236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647416"/>
        <c:crosses val="autoZero"/>
        <c:auto val="1"/>
        <c:lblAlgn val="ctr"/>
        <c:lblOffset val="100"/>
        <c:noMultiLvlLbl val="0"/>
      </c:catAx>
      <c:valAx>
        <c:axId val="964741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41236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3c32f8-2280-4825-af53-ee918fc1a12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10</xdr:col>
      <xdr:colOff>90360</xdr:colOff>
      <xdr:row>36</xdr:row>
      <xdr:rowOff>128520</xdr:rowOff>
    </xdr:to>
    <xdr:graphicFrame>
      <xdr:nvGraphicFramePr>
        <xdr:cNvPr id="2" name="Chart 1"/>
        <xdr:cNvGraphicFramePr/>
      </xdr:nvGraphicFramePr>
      <xdr:xfrm>
        <a:off x="105410" y="2914650"/>
        <a:ext cx="6068060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14</xdr:row>
      <xdr:rowOff>0</xdr:rowOff>
    </xdr:from>
    <xdr:to>
      <xdr:col>20</xdr:col>
      <xdr:colOff>90360</xdr:colOff>
      <xdr:row>36</xdr:row>
      <xdr:rowOff>128520</xdr:rowOff>
    </xdr:to>
    <xdr:graphicFrame>
      <xdr:nvGraphicFramePr>
        <xdr:cNvPr id="3" name="Chart 2"/>
        <xdr:cNvGraphicFramePr/>
      </xdr:nvGraphicFramePr>
      <xdr:xfrm>
        <a:off x="6188710" y="2914650"/>
        <a:ext cx="6068060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10</xdr:col>
      <xdr:colOff>90360</xdr:colOff>
      <xdr:row>67</xdr:row>
      <xdr:rowOff>128520</xdr:rowOff>
    </xdr:to>
    <xdr:graphicFrame>
      <xdr:nvGraphicFramePr>
        <xdr:cNvPr id="4" name="Chart 3"/>
        <xdr:cNvGraphicFramePr/>
      </xdr:nvGraphicFramePr>
      <xdr:xfrm>
        <a:off x="105410" y="8858250"/>
        <a:ext cx="6068060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45</xdr:row>
      <xdr:rowOff>0</xdr:rowOff>
    </xdr:from>
    <xdr:to>
      <xdr:col>20</xdr:col>
      <xdr:colOff>90360</xdr:colOff>
      <xdr:row>67</xdr:row>
      <xdr:rowOff>128520</xdr:rowOff>
    </xdr:to>
    <xdr:graphicFrame>
      <xdr:nvGraphicFramePr>
        <xdr:cNvPr id="5" name="Chart 4"/>
        <xdr:cNvGraphicFramePr/>
      </xdr:nvGraphicFramePr>
      <xdr:xfrm>
        <a:off x="6188710" y="8858250"/>
        <a:ext cx="6068060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76</xdr:row>
      <xdr:rowOff>0</xdr:rowOff>
    </xdr:from>
    <xdr:to>
      <xdr:col>10</xdr:col>
      <xdr:colOff>90360</xdr:colOff>
      <xdr:row>98</xdr:row>
      <xdr:rowOff>128520</xdr:rowOff>
    </xdr:to>
    <xdr:graphicFrame>
      <xdr:nvGraphicFramePr>
        <xdr:cNvPr id="6" name="Chart 5"/>
        <xdr:cNvGraphicFramePr/>
      </xdr:nvGraphicFramePr>
      <xdr:xfrm>
        <a:off x="105410" y="14801850"/>
        <a:ext cx="6068060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76</xdr:row>
      <xdr:rowOff>0</xdr:rowOff>
    </xdr:from>
    <xdr:to>
      <xdr:col>20</xdr:col>
      <xdr:colOff>90360</xdr:colOff>
      <xdr:row>98</xdr:row>
      <xdr:rowOff>128520</xdr:rowOff>
    </xdr:to>
    <xdr:graphicFrame>
      <xdr:nvGraphicFramePr>
        <xdr:cNvPr id="7" name="Chart 6"/>
        <xdr:cNvGraphicFramePr/>
      </xdr:nvGraphicFramePr>
      <xdr:xfrm>
        <a:off x="6188710" y="14801850"/>
        <a:ext cx="6068060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107</xdr:row>
      <xdr:rowOff>0</xdr:rowOff>
    </xdr:from>
    <xdr:to>
      <xdr:col>10</xdr:col>
      <xdr:colOff>90360</xdr:colOff>
      <xdr:row>129</xdr:row>
      <xdr:rowOff>128520</xdr:rowOff>
    </xdr:to>
    <xdr:graphicFrame>
      <xdr:nvGraphicFramePr>
        <xdr:cNvPr id="8" name="Chart 7"/>
        <xdr:cNvGraphicFramePr/>
      </xdr:nvGraphicFramePr>
      <xdr:xfrm>
        <a:off x="105410" y="20745450"/>
        <a:ext cx="6068060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107</xdr:row>
      <xdr:rowOff>0</xdr:rowOff>
    </xdr:from>
    <xdr:to>
      <xdr:col>20</xdr:col>
      <xdr:colOff>90360</xdr:colOff>
      <xdr:row>129</xdr:row>
      <xdr:rowOff>128520</xdr:rowOff>
    </xdr:to>
    <xdr:graphicFrame>
      <xdr:nvGraphicFramePr>
        <xdr:cNvPr id="9" name="Chart 8"/>
        <xdr:cNvGraphicFramePr/>
      </xdr:nvGraphicFramePr>
      <xdr:xfrm>
        <a:off x="6188710" y="20745450"/>
        <a:ext cx="6068060" cy="4319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4"/>
  <sheetViews>
    <sheetView showGridLines="0" showRowColHeaders="0" tabSelected="1" zoomScale="80" zoomScaleNormal="80" workbookViewId="0">
      <selection activeCell="B45" sqref="B45:Y45"/>
    </sheetView>
  </sheetViews>
  <sheetFormatPr defaultColWidth="8.68181818181818" defaultRowHeight="14.5"/>
  <cols>
    <col min="1" max="1" width="1.50909090909091" customWidth="1"/>
    <col min="2" max="10" width="9.50909090909091" customWidth="1"/>
    <col min="11" max="11" width="1.50909090909091" customWidth="1"/>
    <col min="12" max="25" width="9.50909090909091" customWidth="1"/>
    <col min="26" max="26" width="1.50909090909091" customWidth="1"/>
  </cols>
  <sheetData>
    <row r="1" ht="15" customHeight="1" spans="1:26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" customHeight="1" spans="1:26">
      <c r="A2" s="3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5" t="s">
        <v>1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/>
    </row>
    <row r="3" ht="15" customHeight="1" spans="1:26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/>
    </row>
    <row r="4" ht="15" customHeight="1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" customHeight="1" spans="1:26">
      <c r="A5" s="6"/>
      <c r="B5" s="7"/>
      <c r="C5" s="7"/>
      <c r="D5" s="7"/>
      <c r="E5" s="7"/>
      <c r="F5" s="8"/>
      <c r="G5" s="8"/>
      <c r="H5" s="8"/>
      <c r="I5" s="8"/>
      <c r="J5" s="9"/>
      <c r="K5" s="9"/>
      <c r="L5" s="9"/>
      <c r="M5" s="9"/>
      <c r="N5" s="10"/>
      <c r="O5" s="10"/>
      <c r="P5" s="10"/>
      <c r="Q5" s="10"/>
      <c r="R5" s="11"/>
      <c r="S5" s="11"/>
      <c r="T5" s="11"/>
      <c r="U5" s="11"/>
      <c r="V5" s="6"/>
      <c r="W5" s="6"/>
      <c r="X5" s="6"/>
      <c r="Y5" s="6"/>
      <c r="Z5" s="6"/>
    </row>
    <row r="6" ht="18" customHeight="1" spans="1:26">
      <c r="A6" s="6"/>
      <c r="B6" s="12" t="s">
        <v>2</v>
      </c>
      <c r="C6" s="12"/>
      <c r="D6" s="12"/>
      <c r="E6" s="12"/>
      <c r="F6" s="12" t="s">
        <v>3</v>
      </c>
      <c r="G6" s="12"/>
      <c r="H6" s="12"/>
      <c r="I6" s="12"/>
      <c r="J6" s="12" t="s">
        <v>4</v>
      </c>
      <c r="K6" s="12"/>
      <c r="L6" s="12"/>
      <c r="M6" s="12"/>
      <c r="N6" s="12" t="s">
        <v>5</v>
      </c>
      <c r="O6" s="12"/>
      <c r="P6" s="12"/>
      <c r="Q6" s="12"/>
      <c r="R6" s="12" t="s">
        <v>6</v>
      </c>
      <c r="S6" s="12"/>
      <c r="T6" s="12"/>
      <c r="U6" s="12"/>
      <c r="V6" s="6"/>
      <c r="W6" s="6"/>
      <c r="X6" s="6"/>
      <c r="Y6" s="6"/>
      <c r="Z6" s="6"/>
    </row>
    <row r="7" ht="18" customHeight="1" spans="1:26">
      <c r="A7" s="6"/>
      <c r="B7" s="13" t="s">
        <v>7</v>
      </c>
      <c r="C7" s="13"/>
      <c r="D7" s="13"/>
      <c r="E7" s="13"/>
      <c r="F7" s="14" t="s">
        <v>8</v>
      </c>
      <c r="G7" s="14"/>
      <c r="H7" s="14"/>
      <c r="I7" s="14"/>
      <c r="J7" s="15" t="s">
        <v>9</v>
      </c>
      <c r="K7" s="15"/>
      <c r="L7" s="15"/>
      <c r="M7" s="15"/>
      <c r="N7" s="16" t="s">
        <v>10</v>
      </c>
      <c r="O7" s="16"/>
      <c r="P7" s="16"/>
      <c r="Q7" s="16"/>
      <c r="R7" s="17" t="s">
        <v>11</v>
      </c>
      <c r="S7" s="17"/>
      <c r="T7" s="17"/>
      <c r="U7" s="17"/>
      <c r="V7" s="6"/>
      <c r="W7" s="6"/>
      <c r="X7" s="6"/>
      <c r="Y7" s="6"/>
      <c r="Z7" s="6"/>
    </row>
    <row r="8" ht="18" customHeight="1" spans="1:26">
      <c r="A8" s="6"/>
      <c r="B8" s="18" t="s">
        <v>12</v>
      </c>
      <c r="C8" s="18"/>
      <c r="D8" s="18"/>
      <c r="E8" s="18"/>
      <c r="F8" s="18" t="s">
        <v>13</v>
      </c>
      <c r="G8" s="18"/>
      <c r="H8" s="18"/>
      <c r="I8" s="18"/>
      <c r="J8" s="18" t="s">
        <v>14</v>
      </c>
      <c r="K8" s="18"/>
      <c r="L8" s="18"/>
      <c r="M8" s="18"/>
      <c r="N8" s="18" t="s">
        <v>15</v>
      </c>
      <c r="O8" s="18"/>
      <c r="P8" s="18"/>
      <c r="Q8" s="18"/>
      <c r="R8" s="18" t="s">
        <v>16</v>
      </c>
      <c r="S8" s="18"/>
      <c r="T8" s="18"/>
      <c r="U8" s="18"/>
      <c r="V8" s="6"/>
      <c r="W8" s="6"/>
      <c r="X8" s="6"/>
      <c r="Y8" s="6"/>
      <c r="Z8" s="6"/>
    </row>
    <row r="9" ht="18" customHeight="1" spans="1:26">
      <c r="A9" s="6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6"/>
      <c r="W9" s="6"/>
      <c r="X9" s="6"/>
      <c r="Y9" s="6"/>
      <c r="Z9" s="6"/>
    </row>
    <row r="10" ht="18" customHeight="1" spans="1:26">
      <c r="A10" s="6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6"/>
      <c r="W10" s="6"/>
      <c r="X10" s="6"/>
      <c r="Y10" s="6"/>
      <c r="Z10" s="6"/>
    </row>
    <row r="11" ht="18" customHeight="1" spans="1:26">
      <c r="A11" s="6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6"/>
      <c r="W11" s="6"/>
      <c r="X11" s="6"/>
      <c r="Y11" s="6"/>
      <c r="Z11" s="6"/>
    </row>
    <row r="12" ht="18" customHeight="1" spans="1:26">
      <c r="A12" s="6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6"/>
      <c r="W12" s="6"/>
      <c r="X12" s="6"/>
      <c r="Y12" s="6"/>
      <c r="Z12" s="6"/>
    </row>
    <row r="13" ht="7.5" customHeight="1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" customHeight="1" spans="1:26">
      <c r="A14" s="6"/>
      <c r="B14" s="20" t="s">
        <v>17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6"/>
    </row>
    <row r="15" ht="15" customHeight="1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" customHeight="1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" customHeight="1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" customHeight="1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 customHeight="1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" customHeight="1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" customHeight="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" customHeight="1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" customHeight="1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" customHeight="1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" customHeight="1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" customHeight="1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" customHeight="1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" customHeight="1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" customHeight="1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" customHeight="1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" customHeight="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" customHeight="1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" customHeight="1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" customHeight="1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" customHeight="1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" customHeight="1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" customHeight="1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" customHeight="1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" customHeight="1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" customHeight="1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" customHeight="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" customHeight="1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" customHeight="1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 customHeight="1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" customHeight="1" spans="1:26">
      <c r="A45" s="6"/>
      <c r="B45" s="21" t="s">
        <v>18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6"/>
    </row>
    <row r="46" ht="15" customHeight="1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" customHeight="1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" customHeight="1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" customHeight="1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" customHeight="1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" customHeight="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" customHeight="1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" customHeight="1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" customHeight="1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" customHeight="1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" customHeight="1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" customHeight="1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" customHeight="1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" customHeight="1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" customHeight="1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" customHeight="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" customHeight="1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" customHeight="1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 customHeight="1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" customHeight="1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" customHeight="1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" customHeight="1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" customHeight="1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" customHeight="1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" customHeight="1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" customHeight="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" customHeight="1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" customHeight="1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" customHeight="1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" customHeight="1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" customHeight="1" spans="1:26">
      <c r="A76" s="6"/>
      <c r="B76" s="22" t="s">
        <v>19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6"/>
    </row>
    <row r="77" ht="15" customHeight="1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" customHeight="1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" customHeight="1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" customHeight="1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" customHeight="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" customHeight="1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" customHeight="1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" customHeight="1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" customHeight="1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" customHeight="1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" customHeight="1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" customHeight="1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" customHeight="1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" customHeight="1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" customHeight="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" customHeight="1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" customHeight="1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 customHeight="1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" customHeight="1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" customHeight="1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" customHeight="1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" customHeight="1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" customHeight="1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" customHeight="1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" customHeight="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" customHeight="1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" customHeight="1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" customHeight="1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" customHeight="1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" customHeight="1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" customHeight="1" spans="1:26">
      <c r="A107" s="6"/>
      <c r="B107" s="23" t="s">
        <v>20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6"/>
    </row>
    <row r="108" ht="15" customHeight="1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 customHeight="1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" customHeight="1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" customHeight="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" customHeight="1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" customHeight="1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" customHeight="1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" customHeight="1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" customHeight="1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" customHeight="1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" customHeight="1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" customHeight="1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" customHeight="1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" customHeight="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" customHeight="1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" customHeight="1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" customHeight="1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" customHeight="1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" customHeight="1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" customHeight="1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" customHeight="1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 customHeight="1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" customHeight="1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" customHeight="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" customHeight="1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" customHeight="1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" customHeight="1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" customHeight="1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" customHeight="1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" customHeight="1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" customHeight="1" spans="1:26">
      <c r="A138" s="6"/>
      <c r="B138" s="20" t="s">
        <v>21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6"/>
    </row>
    <row r="139" ht="15" customHeight="1" spans="1:26">
      <c r="A139" s="6"/>
      <c r="B139" s="24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6"/>
    </row>
    <row r="140" ht="15" customHeight="1" spans="1:26">
      <c r="A140" s="6"/>
      <c r="B140" s="24"/>
      <c r="C140" s="26" t="s">
        <v>22</v>
      </c>
      <c r="D140" s="26"/>
      <c r="E140" s="26"/>
      <c r="F140" s="27" t="s">
        <v>23</v>
      </c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6"/>
    </row>
    <row r="141" ht="15" customHeight="1" spans="1:26">
      <c r="A141" s="6"/>
      <c r="B141" s="24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6"/>
    </row>
    <row r="142" ht="15" customHeight="1" spans="1:26">
      <c r="A142" s="6"/>
      <c r="B142" s="24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6"/>
    </row>
    <row r="143" ht="15" customHeight="1" spans="1:26">
      <c r="A143" s="6"/>
      <c r="B143" s="28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6"/>
    </row>
    <row r="144" ht="15" customHeight="1" spans="1:26">
      <c r="A144" s="6"/>
      <c r="B144" s="28"/>
      <c r="C144" s="29" t="s">
        <v>24</v>
      </c>
      <c r="D144" s="29"/>
      <c r="E144" s="29"/>
      <c r="F144" s="27" t="s">
        <v>25</v>
      </c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6"/>
    </row>
    <row r="145" ht="15" customHeight="1" spans="1:26">
      <c r="A145" s="6"/>
      <c r="B145" s="28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6"/>
    </row>
    <row r="146" ht="15" customHeight="1" spans="1:26">
      <c r="A146" s="6"/>
      <c r="B146" s="2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6"/>
    </row>
    <row r="147" ht="15" customHeight="1" spans="1:26">
      <c r="A147" s="6"/>
      <c r="B147" s="30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6"/>
    </row>
    <row r="148" ht="15" customHeight="1" spans="1:26">
      <c r="A148" s="6"/>
      <c r="B148" s="30"/>
      <c r="C148" s="31" t="s">
        <v>26</v>
      </c>
      <c r="D148" s="31"/>
      <c r="E148" s="31"/>
      <c r="F148" s="27" t="s">
        <v>27</v>
      </c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6"/>
    </row>
    <row r="149" ht="15" customHeight="1" spans="1:26">
      <c r="A149" s="6"/>
      <c r="B149" s="30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6"/>
    </row>
    <row r="150" ht="15" customHeight="1" spans="1:26">
      <c r="A150" s="6"/>
      <c r="B150" s="30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6"/>
    </row>
    <row r="151" ht="15" customHeight="1" spans="1:26">
      <c r="A151" s="6"/>
      <c r="B151" s="32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6"/>
    </row>
    <row r="152" ht="15" customHeight="1" spans="1:26">
      <c r="A152" s="6"/>
      <c r="B152" s="32"/>
      <c r="C152" s="33" t="s">
        <v>28</v>
      </c>
      <c r="D152" s="33"/>
      <c r="E152" s="33"/>
      <c r="F152" s="27" t="s">
        <v>29</v>
      </c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6"/>
    </row>
    <row r="153" ht="15" customHeight="1" spans="1:26">
      <c r="A153" s="6"/>
      <c r="B153" s="32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6"/>
    </row>
    <row r="154" ht="15" customHeight="1" spans="1:26">
      <c r="A154" s="6"/>
      <c r="B154" s="32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6"/>
    </row>
    <row r="155" ht="15" customHeight="1" spans="1:26">
      <c r="A155" s="6"/>
      <c r="B155" s="34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6"/>
    </row>
    <row r="156" ht="15" customHeight="1" spans="1:26">
      <c r="A156" s="6"/>
      <c r="B156" s="34"/>
      <c r="C156" s="35" t="s">
        <v>30</v>
      </c>
      <c r="D156" s="35"/>
      <c r="E156" s="35"/>
      <c r="F156" s="27" t="s">
        <v>31</v>
      </c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6"/>
    </row>
    <row r="157" ht="15" customHeight="1" spans="1:26">
      <c r="A157" s="6"/>
      <c r="B157" s="34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6"/>
    </row>
    <row r="158" ht="15" customHeight="1" spans="1:26">
      <c r="A158" s="6"/>
      <c r="B158" s="34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6"/>
    </row>
    <row r="159" ht="15" customHeight="1" spans="1:26">
      <c r="A159" s="3"/>
      <c r="B159" s="36" t="s">
        <v>32</v>
      </c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"/>
    </row>
    <row r="160" ht="15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9.75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9.75" customHeight="1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9.75" customHeight="1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</sheetData>
  <mergeCells count="53">
    <mergeCell ref="B6:E6"/>
    <mergeCell ref="F6:I6"/>
    <mergeCell ref="J6:M6"/>
    <mergeCell ref="N6:Q6"/>
    <mergeCell ref="R6:U6"/>
    <mergeCell ref="B7:E7"/>
    <mergeCell ref="F7:I7"/>
    <mergeCell ref="J7:M7"/>
    <mergeCell ref="N7:Q7"/>
    <mergeCell ref="R7:U7"/>
    <mergeCell ref="B8:E8"/>
    <mergeCell ref="F8:I8"/>
    <mergeCell ref="J8:M8"/>
    <mergeCell ref="N8:Q8"/>
    <mergeCell ref="R8:U8"/>
    <mergeCell ref="B9:E9"/>
    <mergeCell ref="F9:I9"/>
    <mergeCell ref="J9:M9"/>
    <mergeCell ref="N9:Q9"/>
    <mergeCell ref="R9:U9"/>
    <mergeCell ref="B10:E10"/>
    <mergeCell ref="F10:I10"/>
    <mergeCell ref="J10:M10"/>
    <mergeCell ref="N10:Q10"/>
    <mergeCell ref="R10:U10"/>
    <mergeCell ref="B11:E11"/>
    <mergeCell ref="F11:I11"/>
    <mergeCell ref="J11:M11"/>
    <mergeCell ref="N11:Q11"/>
    <mergeCell ref="R11:U11"/>
    <mergeCell ref="B12:E12"/>
    <mergeCell ref="F12:I12"/>
    <mergeCell ref="J12:M12"/>
    <mergeCell ref="N12:Q12"/>
    <mergeCell ref="R12:U12"/>
    <mergeCell ref="B14:Y14"/>
    <mergeCell ref="B45:Y45"/>
    <mergeCell ref="B76:Y76"/>
    <mergeCell ref="B107:Y107"/>
    <mergeCell ref="B138:Y138"/>
    <mergeCell ref="C140:E140"/>
    <mergeCell ref="F140:Y140"/>
    <mergeCell ref="C144:E144"/>
    <mergeCell ref="F144:Y144"/>
    <mergeCell ref="C148:E148"/>
    <mergeCell ref="F148:Y148"/>
    <mergeCell ref="C152:E152"/>
    <mergeCell ref="F152:Y152"/>
    <mergeCell ref="C156:E156"/>
    <mergeCell ref="F156:Y156"/>
    <mergeCell ref="B159:Y159"/>
    <mergeCell ref="B2:L3"/>
    <mergeCell ref="M2:Y3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7"/>
  <sheetViews>
    <sheetView workbookViewId="0">
      <selection activeCell="A1" sqref="A1"/>
    </sheetView>
  </sheetViews>
  <sheetFormatPr defaultColWidth="8.68181818181818" defaultRowHeight="14.5"/>
  <sheetData>
    <row r="1" spans="1:33">
      <c r="A1" s="1" t="s">
        <v>33</v>
      </c>
      <c r="E1" s="1" t="s">
        <v>34</v>
      </c>
      <c r="H1" s="1" t="s">
        <v>35</v>
      </c>
      <c r="K1" s="1" t="s">
        <v>36</v>
      </c>
      <c r="N1" s="1" t="s">
        <v>37</v>
      </c>
      <c r="Q1" s="1" t="s">
        <v>38</v>
      </c>
      <c r="T1" s="1" t="s">
        <v>39</v>
      </c>
      <c r="X1" s="1" t="s">
        <v>40</v>
      </c>
      <c r="AA1" s="1" t="s">
        <v>41</v>
      </c>
      <c r="AF1" s="1" t="s">
        <v>42</v>
      </c>
    </row>
    <row r="2" spans="1:33">
      <c r="A2" s="2" t="s">
        <v>43</v>
      </c>
      <c r="B2" s="2" t="s">
        <v>44</v>
      </c>
      <c r="C2" s="2" t="s">
        <v>45</v>
      </c>
      <c r="E2" s="2" t="s">
        <v>46</v>
      </c>
      <c r="F2" s="2" t="s">
        <v>47</v>
      </c>
      <c r="H2" s="2" t="s">
        <v>48</v>
      </c>
      <c r="I2" s="2" t="s">
        <v>49</v>
      </c>
      <c r="K2" s="2" t="s">
        <v>50</v>
      </c>
      <c r="L2" s="2" t="s">
        <v>51</v>
      </c>
      <c r="N2" s="2" t="s">
        <v>43</v>
      </c>
      <c r="O2" s="2" t="s">
        <v>52</v>
      </c>
      <c r="Q2" s="2" t="s">
        <v>53</v>
      </c>
      <c r="R2" s="2" t="s">
        <v>54</v>
      </c>
      <c r="T2" s="2" t="s">
        <v>55</v>
      </c>
      <c r="U2" s="2" t="s">
        <v>56</v>
      </c>
      <c r="V2" s="2" t="s">
        <v>57</v>
      </c>
      <c r="X2" s="2" t="s">
        <v>58</v>
      </c>
      <c r="Y2" s="2" t="s">
        <v>59</v>
      </c>
      <c r="AA2" s="2" t="s">
        <v>60</v>
      </c>
      <c r="AB2" s="2" t="s">
        <v>44</v>
      </c>
      <c r="AC2" s="2" t="s">
        <v>45</v>
      </c>
      <c r="AF2" s="2" t="s">
        <v>61</v>
      </c>
      <c r="AG2" s="2" t="s">
        <v>62</v>
      </c>
    </row>
    <row r="3" spans="1:33">
      <c r="A3" t="s">
        <v>63</v>
      </c>
      <c r="B3">
        <v>800</v>
      </c>
      <c r="C3">
        <v>3</v>
      </c>
      <c r="E3" t="s">
        <v>64</v>
      </c>
      <c r="F3">
        <v>96478</v>
      </c>
      <c r="H3" t="s">
        <v>65</v>
      </c>
      <c r="I3">
        <v>4.31</v>
      </c>
      <c r="K3" t="s">
        <v>66</v>
      </c>
      <c r="L3">
        <v>1258681</v>
      </c>
      <c r="N3" t="s">
        <v>67</v>
      </c>
      <c r="O3">
        <v>2.4</v>
      </c>
      <c r="Q3" t="s">
        <v>68</v>
      </c>
      <c r="R3">
        <v>1330091</v>
      </c>
      <c r="T3" t="s">
        <v>69</v>
      </c>
      <c r="U3">
        <v>60.2</v>
      </c>
      <c r="V3">
        <v>39.8</v>
      </c>
      <c r="X3">
        <v>2</v>
      </c>
      <c r="Y3">
        <v>3.02</v>
      </c>
      <c r="AA3" t="s">
        <v>70</v>
      </c>
      <c r="AB3">
        <v>329</v>
      </c>
      <c r="AC3">
        <v>26</v>
      </c>
      <c r="AF3" t="s">
        <v>71</v>
      </c>
      <c r="AG3">
        <v>46.9</v>
      </c>
    </row>
    <row r="4" spans="1:33">
      <c r="A4" t="s">
        <v>72</v>
      </c>
      <c r="B4">
        <v>1780</v>
      </c>
      <c r="C4">
        <v>17</v>
      </c>
      <c r="E4" t="s">
        <v>73</v>
      </c>
      <c r="F4">
        <v>1107</v>
      </c>
      <c r="H4" t="s">
        <v>74</v>
      </c>
      <c r="I4">
        <v>4.19</v>
      </c>
      <c r="K4" t="s">
        <v>75</v>
      </c>
      <c r="L4">
        <v>1205006</v>
      </c>
      <c r="N4" t="s">
        <v>76</v>
      </c>
      <c r="O4">
        <v>2.6</v>
      </c>
      <c r="Q4" t="s">
        <v>77</v>
      </c>
      <c r="R4">
        <v>48912</v>
      </c>
      <c r="T4" t="s">
        <v>78</v>
      </c>
      <c r="U4">
        <v>59.8</v>
      </c>
      <c r="V4">
        <v>40.2</v>
      </c>
      <c r="X4">
        <v>3</v>
      </c>
      <c r="Y4">
        <v>2.96</v>
      </c>
      <c r="AA4" t="s">
        <v>79</v>
      </c>
      <c r="AB4">
        <v>45101</v>
      </c>
      <c r="AC4">
        <v>265</v>
      </c>
      <c r="AF4" t="s">
        <v>80</v>
      </c>
      <c r="AG4">
        <v>100</v>
      </c>
    </row>
    <row r="5" spans="1:33">
      <c r="A5" t="s">
        <v>81</v>
      </c>
      <c r="B5">
        <v>2682</v>
      </c>
      <c r="C5">
        <v>33</v>
      </c>
      <c r="E5" t="s">
        <v>45</v>
      </c>
      <c r="F5">
        <v>625</v>
      </c>
      <c r="H5" t="s">
        <v>82</v>
      </c>
      <c r="I5">
        <v>4.11</v>
      </c>
      <c r="K5" t="s">
        <v>83</v>
      </c>
      <c r="L5">
        <v>1036989</v>
      </c>
      <c r="N5" t="s">
        <v>84</v>
      </c>
      <c r="O5">
        <v>3.5</v>
      </c>
      <c r="Q5" t="s">
        <v>85</v>
      </c>
      <c r="R5">
        <v>28753</v>
      </c>
      <c r="T5" t="s">
        <v>86</v>
      </c>
      <c r="U5">
        <v>58.8</v>
      </c>
      <c r="V5">
        <v>41.2</v>
      </c>
      <c r="X5">
        <v>4</v>
      </c>
      <c r="Y5">
        <v>3</v>
      </c>
      <c r="AA5" t="s">
        <v>87</v>
      </c>
      <c r="AB5">
        <v>54011</v>
      </c>
      <c r="AC5">
        <v>334</v>
      </c>
      <c r="AF5" t="s">
        <v>88</v>
      </c>
      <c r="AG5">
        <v>100</v>
      </c>
    </row>
    <row r="6" spans="1:33">
      <c r="A6" t="s">
        <v>89</v>
      </c>
      <c r="B6">
        <v>2404</v>
      </c>
      <c r="C6">
        <v>18</v>
      </c>
      <c r="E6" t="s">
        <v>90</v>
      </c>
      <c r="F6">
        <v>609</v>
      </c>
      <c r="H6" t="s">
        <v>91</v>
      </c>
      <c r="I6">
        <v>3.29</v>
      </c>
      <c r="K6" t="s">
        <v>92</v>
      </c>
      <c r="L6">
        <v>988049</v>
      </c>
      <c r="N6" t="s">
        <v>93</v>
      </c>
      <c r="O6">
        <v>2.5</v>
      </c>
      <c r="Q6" t="s">
        <v>94</v>
      </c>
      <c r="R6">
        <v>20867</v>
      </c>
      <c r="X6">
        <v>5</v>
      </c>
      <c r="Y6">
        <v>2.97</v>
      </c>
      <c r="AF6" t="s">
        <v>95</v>
      </c>
      <c r="AG6">
        <v>100</v>
      </c>
    </row>
    <row r="7" spans="1:33">
      <c r="A7" t="s">
        <v>96</v>
      </c>
      <c r="B7">
        <v>3700</v>
      </c>
      <c r="C7">
        <v>29</v>
      </c>
      <c r="E7" t="s">
        <v>97</v>
      </c>
      <c r="F7">
        <v>314</v>
      </c>
      <c r="H7" t="s">
        <v>98</v>
      </c>
      <c r="I7">
        <v>2.1</v>
      </c>
      <c r="K7" t="s">
        <v>99</v>
      </c>
      <c r="L7">
        <v>911954</v>
      </c>
      <c r="N7" t="s">
        <v>100</v>
      </c>
      <c r="O7">
        <v>2.1</v>
      </c>
      <c r="Q7" t="s">
        <v>101</v>
      </c>
      <c r="R7">
        <v>17319</v>
      </c>
      <c r="X7">
        <v>6</v>
      </c>
      <c r="Y7">
        <v>3.08</v>
      </c>
      <c r="AF7" t="s">
        <v>102</v>
      </c>
      <c r="AG7">
        <v>100</v>
      </c>
    </row>
    <row r="8" spans="1:33">
      <c r="A8" t="s">
        <v>103</v>
      </c>
      <c r="B8">
        <v>3245</v>
      </c>
      <c r="C8">
        <v>16</v>
      </c>
      <c r="E8" t="s">
        <v>104</v>
      </c>
      <c r="F8">
        <v>301</v>
      </c>
      <c r="H8" t="s">
        <v>105</v>
      </c>
      <c r="I8">
        <v>1.65</v>
      </c>
      <c r="K8" t="s">
        <v>106</v>
      </c>
      <c r="L8">
        <v>729762</v>
      </c>
      <c r="N8" t="s">
        <v>107</v>
      </c>
      <c r="O8">
        <v>3.8</v>
      </c>
      <c r="Q8" t="s">
        <v>108</v>
      </c>
      <c r="R8">
        <v>13274</v>
      </c>
      <c r="X8">
        <v>7</v>
      </c>
      <c r="Y8">
        <v>3</v>
      </c>
      <c r="AF8" t="s">
        <v>109</v>
      </c>
      <c r="AG8">
        <v>100</v>
      </c>
    </row>
    <row r="9" spans="1:33">
      <c r="A9" t="s">
        <v>110</v>
      </c>
      <c r="B9">
        <v>4026</v>
      </c>
      <c r="C9">
        <v>28</v>
      </c>
      <c r="H9" t="s">
        <v>111</v>
      </c>
      <c r="I9">
        <v>2.05</v>
      </c>
      <c r="K9" t="s">
        <v>112</v>
      </c>
      <c r="L9">
        <v>635291</v>
      </c>
      <c r="N9" t="s">
        <v>113</v>
      </c>
      <c r="O9">
        <v>2.3</v>
      </c>
      <c r="Q9" t="s">
        <v>114</v>
      </c>
      <c r="R9">
        <v>12159</v>
      </c>
    </row>
    <row r="10" spans="1:33">
      <c r="A10" t="s">
        <v>115</v>
      </c>
      <c r="B10">
        <v>4331</v>
      </c>
      <c r="C10">
        <v>27</v>
      </c>
      <c r="K10" t="s">
        <v>116</v>
      </c>
      <c r="L10">
        <v>632249</v>
      </c>
      <c r="N10" t="s">
        <v>117</v>
      </c>
      <c r="O10">
        <v>2.5</v>
      </c>
      <c r="Q10" t="s">
        <v>118</v>
      </c>
      <c r="R10">
        <v>9855</v>
      </c>
    </row>
    <row r="11" spans="1:33">
      <c r="A11" t="s">
        <v>119</v>
      </c>
      <c r="B11">
        <v>4285</v>
      </c>
      <c r="C11">
        <v>20</v>
      </c>
      <c r="K11" t="s">
        <v>120</v>
      </c>
      <c r="L11">
        <v>592720</v>
      </c>
      <c r="N11" t="s">
        <v>121</v>
      </c>
      <c r="O11">
        <v>2</v>
      </c>
      <c r="Q11" t="s">
        <v>122</v>
      </c>
      <c r="R11">
        <v>5707</v>
      </c>
    </row>
    <row r="12" spans="1:33">
      <c r="A12" t="s">
        <v>123</v>
      </c>
      <c r="B12">
        <v>4631</v>
      </c>
      <c r="C12">
        <v>26</v>
      </c>
      <c r="K12" t="s">
        <v>124</v>
      </c>
      <c r="L12">
        <v>485256</v>
      </c>
      <c r="N12" t="s">
        <v>125</v>
      </c>
      <c r="O12">
        <v>2.2</v>
      </c>
      <c r="Q12" t="s">
        <v>126</v>
      </c>
      <c r="R12">
        <v>4880</v>
      </c>
    </row>
    <row r="13" spans="1:33">
      <c r="A13" t="s">
        <v>127</v>
      </c>
      <c r="B13">
        <v>7544</v>
      </c>
      <c r="C13">
        <v>37</v>
      </c>
      <c r="N13" t="s">
        <v>128</v>
      </c>
      <c r="O13">
        <v>2</v>
      </c>
    </row>
    <row r="14" spans="1:33">
      <c r="A14" t="s">
        <v>129</v>
      </c>
      <c r="B14">
        <v>5673</v>
      </c>
      <c r="C14">
        <v>11</v>
      </c>
      <c r="N14" t="s">
        <v>130</v>
      </c>
      <c r="O14">
        <v>1.8</v>
      </c>
    </row>
    <row r="15" spans="1:33">
      <c r="A15" t="s">
        <v>131</v>
      </c>
      <c r="B15">
        <v>7269</v>
      </c>
      <c r="C15">
        <v>34</v>
      </c>
      <c r="N15" t="s">
        <v>132</v>
      </c>
      <c r="O15">
        <v>1.8</v>
      </c>
    </row>
    <row r="16" spans="1:33">
      <c r="A16" t="s">
        <v>133</v>
      </c>
      <c r="B16">
        <v>6728</v>
      </c>
      <c r="C16">
        <v>73</v>
      </c>
      <c r="N16" t="s">
        <v>134</v>
      </c>
      <c r="O16">
        <v>2.3</v>
      </c>
    </row>
    <row r="17" spans="1:15">
      <c r="A17" t="s">
        <v>135</v>
      </c>
      <c r="B17">
        <v>7211</v>
      </c>
      <c r="C17">
        <v>26</v>
      </c>
      <c r="N17" t="s">
        <v>136</v>
      </c>
      <c r="O17">
        <v>1.9</v>
      </c>
    </row>
    <row r="18" spans="1:15">
      <c r="A18" t="s">
        <v>137</v>
      </c>
      <c r="B18">
        <v>6939</v>
      </c>
      <c r="C18">
        <v>15</v>
      </c>
      <c r="N18" t="s">
        <v>138</v>
      </c>
      <c r="O18">
        <v>2.3</v>
      </c>
    </row>
    <row r="19" spans="1:15">
      <c r="A19" t="s">
        <v>139</v>
      </c>
      <c r="B19">
        <v>6873</v>
      </c>
      <c r="C19">
        <v>24</v>
      </c>
      <c r="N19" t="s">
        <v>140</v>
      </c>
      <c r="O19">
        <v>2.5</v>
      </c>
    </row>
    <row r="20" spans="1:15">
      <c r="A20" t="s">
        <v>141</v>
      </c>
      <c r="B20">
        <v>6167</v>
      </c>
      <c r="C20">
        <v>18</v>
      </c>
      <c r="N20" t="s">
        <v>142</v>
      </c>
      <c r="O20">
        <v>2</v>
      </c>
    </row>
    <row r="21" spans="1:15">
      <c r="A21" t="s">
        <v>143</v>
      </c>
      <c r="B21">
        <v>6292</v>
      </c>
      <c r="C21">
        <v>41</v>
      </c>
      <c r="N21" t="s">
        <v>144</v>
      </c>
      <c r="O21">
        <v>2.2</v>
      </c>
    </row>
    <row r="22" spans="1:15">
      <c r="A22" t="s">
        <v>145</v>
      </c>
      <c r="B22">
        <v>6512</v>
      </c>
      <c r="C22">
        <v>84</v>
      </c>
      <c r="N22" t="s">
        <v>146</v>
      </c>
      <c r="O22">
        <v>2</v>
      </c>
    </row>
    <row r="23" spans="1:15">
      <c r="N23" t="s">
        <v>147</v>
      </c>
      <c r="O23">
        <v>2</v>
      </c>
    </row>
    <row r="24" spans="1:15">
      <c r="N24" t="s">
        <v>148</v>
      </c>
      <c r="O24">
        <v>1.8</v>
      </c>
    </row>
    <row r="25" spans="1:15">
      <c r="N25" t="s">
        <v>149</v>
      </c>
      <c r="O25">
        <v>2.2</v>
      </c>
    </row>
    <row r="26" spans="1:15">
      <c r="N26" t="s">
        <v>150</v>
      </c>
      <c r="O26">
        <v>1.4</v>
      </c>
    </row>
    <row r="27" spans="1:15">
      <c r="N27" t="s">
        <v>151</v>
      </c>
      <c r="O27">
        <v>1.5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</vt:lpstr>
      <vt:lpstr>Pivot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Mahasweta Talik</cp:lastModifiedBy>
  <cp:revision>1</cp:revision>
  <dcterms:created xsi:type="dcterms:W3CDTF">2026-06-14T15:57:00Z</dcterms:created>
  <dcterms:modified xsi:type="dcterms:W3CDTF">2026-06-14T16:01:00Z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EA3BB57E8AC546C58A263BB21D6F1A45_13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